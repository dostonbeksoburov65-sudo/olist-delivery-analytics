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c240f1f64e0b28d/Desktop/"/>
    </mc:Choice>
  </mc:AlternateContent>
  <xr:revisionPtr revIDLastSave="198" documentId="11_F25DC773A252ABDACC104856119B495A5ADE58F2" xr6:coauthVersionLast="47" xr6:coauthVersionMax="47" xr10:uidLastSave="{2FDC8648-DE1F-465A-ACB4-A0B8CC34EE4F}"/>
  <bookViews>
    <workbookView xWindow="-108" yWindow="-108" windowWidth="23256" windowHeight="12456" xr2:uid="{00000000-000D-0000-FFFF-FFFF00000000}"/>
  </bookViews>
  <sheets>
    <sheet name="Dashboard" sheetId="10" r:id="rId1"/>
    <sheet name="Pivot_quarterly" sheetId="9" r:id="rId2"/>
    <sheet name="Q1_monthly" sheetId="1" r:id="rId3"/>
    <sheet name="Q2_delivery_time" sheetId="2" r:id="rId4"/>
    <sheet name="Q3_on_time" sheetId="3" r:id="rId5"/>
    <sheet name="Q4_state" sheetId="4" r:id="rId6"/>
    <sheet name="Q5_freight" sheetId="5" r:id="rId7"/>
    <sheet name="Q6_stages" sheetId="6" r:id="rId8"/>
    <sheet name="Q7_reviews" sheetId="7" r:id="rId9"/>
    <sheet name="Q8_sellers" sheetId="8" r:id="rId10"/>
  </sheets>
  <calcPr calcId="191029"/>
  <pivotCaches>
    <pivotCache cacheId="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0" l="1"/>
  <c r="B4" i="10"/>
  <c r="H4" i="10"/>
  <c r="F4" i="10"/>
  <c r="D4" i="10"/>
  <c r="I3" i="4"/>
  <c r="I2" i="4"/>
  <c r="I1" i="4"/>
  <c r="F14" i="4"/>
  <c r="F16" i="4"/>
  <c r="F18" i="4"/>
  <c r="F17" i="4"/>
  <c r="F11" i="4"/>
  <c r="F15" i="4"/>
  <c r="F9" i="4"/>
  <c r="F10" i="4"/>
  <c r="F12" i="4"/>
  <c r="F13" i="4"/>
  <c r="F8" i="4"/>
  <c r="F5" i="4"/>
  <c r="F7" i="4"/>
  <c r="F6" i="4"/>
  <c r="F3" i="4"/>
  <c r="F2" i="4"/>
  <c r="F4" i="4"/>
  <c r="E14" i="4"/>
  <c r="E16" i="4"/>
  <c r="E18" i="4"/>
  <c r="E17" i="4"/>
  <c r="E11" i="4"/>
  <c r="E15" i="4"/>
  <c r="E9" i="4"/>
  <c r="E10" i="4"/>
  <c r="E12" i="4"/>
  <c r="E13" i="4"/>
  <c r="E8" i="4"/>
  <c r="E5" i="4"/>
  <c r="E7" i="4"/>
  <c r="E6" i="4"/>
  <c r="E3" i="4"/>
  <c r="E2" i="4"/>
  <c r="E4" i="4"/>
</calcChain>
</file>

<file path=xl/sharedStrings.xml><?xml version="1.0" encoding="utf-8"?>
<sst xmlns="http://schemas.openxmlformats.org/spreadsheetml/2006/main" count="101" uniqueCount="67">
  <si>
    <t>order_month</t>
  </si>
  <si>
    <t>delivered_orders</t>
  </si>
  <si>
    <t>previous_month_orders</t>
  </si>
  <si>
    <t>percentage_change</t>
  </si>
  <si>
    <t>avg_delivery_days</t>
  </si>
  <si>
    <t>median_delivery_days</t>
  </si>
  <si>
    <t>late_orders</t>
  </si>
  <si>
    <t>on_time_rate_pct</t>
  </si>
  <si>
    <t>customer_state</t>
  </si>
  <si>
    <t>late_percentage</t>
  </si>
  <si>
    <t>MA</t>
  </si>
  <si>
    <t>CE</t>
  </si>
  <si>
    <t>RJ</t>
  </si>
  <si>
    <t>BA</t>
  </si>
  <si>
    <t>PA</t>
  </si>
  <si>
    <t>ES</t>
  </si>
  <si>
    <t>PB</t>
  </si>
  <si>
    <t>MS</t>
  </si>
  <si>
    <t>PE</t>
  </si>
  <si>
    <t>SC</t>
  </si>
  <si>
    <t>GO</t>
  </si>
  <si>
    <t>RS</t>
  </si>
  <si>
    <t>MT</t>
  </si>
  <si>
    <t>DF</t>
  </si>
  <si>
    <t>MG</t>
  </si>
  <si>
    <t>SP</t>
  </si>
  <si>
    <t>PR</t>
  </si>
  <si>
    <t>avg_freight_per_order</t>
  </si>
  <si>
    <t>freight_share_pct</t>
  </si>
  <si>
    <t>is_late</t>
  </si>
  <si>
    <t>avg_seller_days</t>
  </si>
  <si>
    <t>avg_transit_days</t>
  </si>
  <si>
    <t>avg_review_score</t>
  </si>
  <si>
    <t>low_score_pct</t>
  </si>
  <si>
    <t>seller_id</t>
  </si>
  <si>
    <t>ede0c03645598cdfc63ca8237acbe73d</t>
  </si>
  <si>
    <t>ad781527c93d00d89a11eecd9dcad7c1</t>
  </si>
  <si>
    <t>54965bbe3e4f07ae045b90b0b8541f52</t>
  </si>
  <si>
    <t>2a1348e9addc1af5aaa619b1a3679d6b</t>
  </si>
  <si>
    <t>835f0f7810c76831d6c7d24c7a646d4d</t>
  </si>
  <si>
    <t>beadbee30901a7f61d031b6b686095ad</t>
  </si>
  <si>
    <t>a49928bcdf77c55c6d6e05e09a9b4ca5</t>
  </si>
  <si>
    <t>ef990a83bbea832f36ebe81376335aa8</t>
  </si>
  <si>
    <t>712e6ed8aa4aa1fa65dab41fed5737e4</t>
  </si>
  <si>
    <t>3fd1e727ba94cfe122d165e176ce7967</t>
  </si>
  <si>
    <t>avg_freight</t>
  </si>
  <si>
    <t>excess_late_orders</t>
  </si>
  <si>
    <t>States with late rate &gt; 10%</t>
  </si>
  <si>
    <t>Their share of orders %</t>
  </si>
  <si>
    <t>Their share of late orders %</t>
  </si>
  <si>
    <t>Row Labels</t>
  </si>
  <si>
    <t>Grand Total</t>
  </si>
  <si>
    <t>2017</t>
  </si>
  <si>
    <t>2018</t>
  </si>
  <si>
    <t>Sum of delivered_orders</t>
  </si>
  <si>
    <t>Qtr1</t>
  </si>
  <si>
    <t>Qtr2</t>
  </si>
  <si>
    <t>Qtr3</t>
  </si>
  <si>
    <t>Qtr4</t>
  </si>
  <si>
    <t>Note: 2018 Q3 includes July-August only.</t>
  </si>
  <si>
    <t>Delivered orders</t>
  </si>
  <si>
    <t>On-time delivery rate %</t>
  </si>
  <si>
    <t>Low reviews (1-2★): late vs on-time</t>
  </si>
  <si>
    <t>RJ excess late orders</t>
  </si>
  <si>
    <t>Olist Delivery Operations Dashboard (Jan 2017 - Aug 2018)</t>
  </si>
  <si>
    <t>On time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</si>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</sst>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m\ yyyy"/>
    <numFmt numFmtId="171" formatCode="0.0&quot;%&quot;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24"/>
      <color theme="1"/>
      <name val="Arial Unicode MS"/>
    </font>
    <font>
      <b/>
      <sz val="18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5" fontId="0" fillId="0" borderId="0" xfId="0" applyNumberFormat="1"/>
    <xf numFmtId="0" fontId="0" fillId="0" borderId="0" xfId="0" applyNumberFormat="1"/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5" fillId="0" borderId="0" xfId="0" applyFont="1"/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171" fontId="3" fillId="0" borderId="1" xfId="0" applyNumberFormat="1" applyFont="1" applyBorder="1"/>
    <xf numFmtId="0" fontId="3" fillId="0" borderId="0" xfId="0" applyFont="1" applyBorder="1" applyAlignment="1">
      <alignment vertical="center" wrapText="1"/>
    </xf>
    <xf numFmtId="0" fontId="3" fillId="0" borderId="0" xfId="0" applyFont="1" applyBorder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65" formatCode="mmm\ yyyy"/>
    </dxf>
    <dxf>
      <numFmt numFmtId="165" formatCode="mmm\ yyyy"/>
    </dxf>
    <dxf>
      <numFmt numFmtId="165" formatCode="mmm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Order peaks break on-time delivery (Nov 2017, Feb-Mar 2018)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Q3_on_time!$B$1</c:f>
              <c:strCache>
                <c:ptCount val="1"/>
                <c:pt idx="0">
                  <c:v>delivered_orders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Q3_on_time!$A$2:$A$21</c:f>
              <c:numCache>
                <c:formatCode>mmm\ yyyy</c:formatCode>
                <c:ptCount val="2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</c:numCache>
            </c:numRef>
          </c:cat>
          <c:val>
            <c:numRef>
              <c:f>Q3_on_time!$B$2:$B$21</c:f>
              <c:numCache>
                <c:formatCode>General</c:formatCode>
                <c:ptCount val="20"/>
                <c:pt idx="0">
                  <c:v>749</c:v>
                </c:pt>
                <c:pt idx="1">
                  <c:v>1651</c:v>
                </c:pt>
                <c:pt idx="2">
                  <c:v>2545</c:v>
                </c:pt>
                <c:pt idx="3">
                  <c:v>2303</c:v>
                </c:pt>
                <c:pt idx="4">
                  <c:v>3544</c:v>
                </c:pt>
                <c:pt idx="5">
                  <c:v>3134</c:v>
                </c:pt>
                <c:pt idx="6">
                  <c:v>3861</c:v>
                </c:pt>
                <c:pt idx="7">
                  <c:v>4191</c:v>
                </c:pt>
                <c:pt idx="8">
                  <c:v>4149</c:v>
                </c:pt>
                <c:pt idx="9">
                  <c:v>4478</c:v>
                </c:pt>
                <c:pt idx="10">
                  <c:v>7288</c:v>
                </c:pt>
                <c:pt idx="11">
                  <c:v>5513</c:v>
                </c:pt>
                <c:pt idx="12">
                  <c:v>7069</c:v>
                </c:pt>
                <c:pt idx="13">
                  <c:v>6555</c:v>
                </c:pt>
                <c:pt idx="14">
                  <c:v>7003</c:v>
                </c:pt>
                <c:pt idx="15">
                  <c:v>6791</c:v>
                </c:pt>
                <c:pt idx="16">
                  <c:v>6719</c:v>
                </c:pt>
                <c:pt idx="17">
                  <c:v>6050</c:v>
                </c:pt>
                <c:pt idx="18">
                  <c:v>6119</c:v>
                </c:pt>
                <c:pt idx="19">
                  <c:v>6306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2-47A1-AB91-4A7650C76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8836703"/>
        <c:axId val="907628847"/>
      </c:barChart>
      <c:lineChart>
        <c:grouping val="standard"/>
        <c:varyColors val="0"/>
        <c:ser>
          <c:idx val="1"/>
          <c:order val="1"/>
          <c:tx>
            <c:strRef>
              <c:f>Q3_on_time!$D$1</c:f>
              <c:strCache>
                <c:ptCount val="1"/>
                <c:pt idx="0">
                  <c:v>on_time_rate_pct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Q3_on_time!$A$2:$A$21</c:f>
              <c:numCache>
                <c:formatCode>mmm\ yyyy</c:formatCode>
                <c:ptCount val="2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</c:numCache>
            </c:numRef>
          </c:cat>
          <c:val>
            <c:numRef>
              <c:f>Q3_on_time!$D$2:$D$21</c:f>
              <c:numCache>
                <c:formatCode>General</c:formatCode>
                <c:ptCount val="20"/>
                <c:pt idx="0">
                  <c:v>97.06</c:v>
                </c:pt>
                <c:pt idx="1">
                  <c:v>97.03</c:v>
                </c:pt>
                <c:pt idx="2">
                  <c:v>95.44</c:v>
                </c:pt>
                <c:pt idx="3">
                  <c:v>93.44</c:v>
                </c:pt>
                <c:pt idx="4">
                  <c:v>97.01</c:v>
                </c:pt>
                <c:pt idx="5">
                  <c:v>96.97</c:v>
                </c:pt>
                <c:pt idx="6">
                  <c:v>97.2</c:v>
                </c:pt>
                <c:pt idx="7">
                  <c:v>97.09</c:v>
                </c:pt>
                <c:pt idx="8">
                  <c:v>95.64</c:v>
                </c:pt>
                <c:pt idx="9">
                  <c:v>95.82</c:v>
                </c:pt>
                <c:pt idx="10">
                  <c:v>87.6</c:v>
                </c:pt>
                <c:pt idx="11">
                  <c:v>92.54</c:v>
                </c:pt>
                <c:pt idx="12">
                  <c:v>94.3</c:v>
                </c:pt>
                <c:pt idx="13">
                  <c:v>85.87</c:v>
                </c:pt>
                <c:pt idx="14">
                  <c:v>81.040000000000006</c:v>
                </c:pt>
                <c:pt idx="15">
                  <c:v>95.49</c:v>
                </c:pt>
                <c:pt idx="16">
                  <c:v>93.41</c:v>
                </c:pt>
                <c:pt idx="17">
                  <c:v>98.84</c:v>
                </c:pt>
                <c:pt idx="18">
                  <c:v>96.62</c:v>
                </c:pt>
                <c:pt idx="19">
                  <c:v>93.77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32-47A1-AB91-4A7650C76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801439"/>
        <c:axId val="1378963599"/>
      </c:lineChart>
      <c:dateAx>
        <c:axId val="1388836703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628847"/>
        <c:crosses val="autoZero"/>
        <c:auto val="1"/>
        <c:lblOffset val="100"/>
        <c:baseTimeUnit val="months"/>
      </c:dateAx>
      <c:valAx>
        <c:axId val="90762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36703"/>
        <c:crosses val="autoZero"/>
        <c:crossBetween val="between"/>
      </c:valAx>
      <c:valAx>
        <c:axId val="1378963599"/>
        <c:scaling>
          <c:orientation val="minMax"/>
          <c:max val="100"/>
          <c:min val="7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01439"/>
        <c:crosses val="max"/>
        <c:crossBetween val="between"/>
      </c:valAx>
      <c:dateAx>
        <c:axId val="1388801439"/>
        <c:scaling>
          <c:orientation val="minMax"/>
        </c:scaling>
        <c:delete val="1"/>
        <c:axPos val="b"/>
        <c:numFmt formatCode="mmm\ yyyy" sourceLinked="1"/>
        <c:majorTickMark val="out"/>
        <c:minorTickMark val="none"/>
        <c:tickLblPos val="nextTo"/>
        <c:crossAx val="1378963599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RJ alone has 676 excess late orders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Q4_state!$F$1</c:f>
              <c:strCache>
                <c:ptCount val="1"/>
                <c:pt idx="0">
                  <c:v>excess_late_orders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1"/>
          <c:cat>
            <c:strRef>
              <c:f>Q4_state!$A$2:$A$18</c:f>
              <c:strCache>
                <c:ptCount val="17"/>
                <c:pt idx="0">
                  <c:v>SP</c:v>
                </c:pt>
                <c:pt idx="1">
                  <c:v>MG</c:v>
                </c:pt>
                <c:pt idx="2">
                  <c:v>PR</c:v>
                </c:pt>
                <c:pt idx="3">
                  <c:v>RS</c:v>
                </c:pt>
                <c:pt idx="4">
                  <c:v>DF</c:v>
                </c:pt>
                <c:pt idx="5">
                  <c:v>MT</c:v>
                </c:pt>
                <c:pt idx="6">
                  <c:v>GO</c:v>
                </c:pt>
                <c:pt idx="7">
                  <c:v>PB</c:v>
                </c:pt>
                <c:pt idx="8">
                  <c:v>MS</c:v>
                </c:pt>
                <c:pt idx="9">
                  <c:v>PA</c:v>
                </c:pt>
                <c:pt idx="10">
                  <c:v>PE</c:v>
                </c:pt>
                <c:pt idx="11">
                  <c:v>SC</c:v>
                </c:pt>
                <c:pt idx="12">
                  <c:v>MA</c:v>
                </c:pt>
                <c:pt idx="13">
                  <c:v>ES</c:v>
                </c:pt>
                <c:pt idx="14">
                  <c:v>CE</c:v>
                </c:pt>
                <c:pt idx="15">
                  <c:v>BA</c:v>
                </c:pt>
                <c:pt idx="16">
                  <c:v>RJ</c:v>
                </c:pt>
              </c:strCache>
            </c:strRef>
          </c:cat>
          <c:val>
            <c:numRef>
              <c:f>Q4_state!$F$2:$F$18</c:f>
              <c:numCache>
                <c:formatCode>General</c:formatCode>
                <c:ptCount val="17"/>
                <c:pt idx="0">
                  <c:v>-874</c:v>
                </c:pt>
                <c:pt idx="1">
                  <c:v>-234</c:v>
                </c:pt>
                <c:pt idx="2">
                  <c:v>-127</c:v>
                </c:pt>
                <c:pt idx="3">
                  <c:v>-29</c:v>
                </c:pt>
                <c:pt idx="4">
                  <c:v>-20</c:v>
                </c:pt>
                <c:pt idx="5">
                  <c:v>-6</c:v>
                </c:pt>
                <c:pt idx="6">
                  <c:v>-2</c:v>
                </c:pt>
                <c:pt idx="7">
                  <c:v>20</c:v>
                </c:pt>
                <c:pt idx="8">
                  <c:v>21</c:v>
                </c:pt>
                <c:pt idx="9">
                  <c:v>43</c:v>
                </c:pt>
                <c:pt idx="10">
                  <c:v>47</c:v>
                </c:pt>
                <c:pt idx="11">
                  <c:v>56</c:v>
                </c:pt>
                <c:pt idx="12">
                  <c:v>78</c:v>
                </c:pt>
                <c:pt idx="13">
                  <c:v>82</c:v>
                </c:pt>
                <c:pt idx="14">
                  <c:v>91</c:v>
                </c:pt>
                <c:pt idx="15">
                  <c:v>178</c:v>
                </c:pt>
                <c:pt idx="16">
                  <c:v>676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7F7F7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9016-4F90-B3C7-D372B3368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88800975"/>
        <c:axId val="1378892079"/>
      </c:barChart>
      <c:catAx>
        <c:axId val="1388800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892079"/>
        <c:crosses val="autoZero"/>
        <c:auto val="1"/>
        <c:lblAlgn val="ctr"/>
        <c:lblOffset val="100"/>
        <c:noMultiLvlLbl val="0"/>
      </c:catAx>
      <c:valAx>
        <c:axId val="137889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0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Late orders lose ~20 extra days in transit, not at the seller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Q6_stages!$C$1</c:f>
              <c:strCache>
                <c:ptCount val="1"/>
                <c:pt idx="0">
                  <c:v>avg_seller_days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Q6_stages!$A$2:$A$3</c:f>
              <c:strCache>
                <c:ptCount val="2"/>
                <c:pt idx="0">
                  <c:v>On time</c:v>
                </c:pt>
                <c:pt idx="1">
                  <c:v>Late</c:v>
                </c:pt>
              </c:strCache>
            </c:strRef>
          </c:cat>
          <c:val>
            <c:numRef>
              <c:f>Q6_stages!$C$2:$C$3</c:f>
              <c:numCache>
                <c:formatCode>General</c:formatCode>
                <c:ptCount val="2"/>
                <c:pt idx="0">
                  <c:v>3</c:v>
                </c:pt>
                <c:pt idx="1">
                  <c:v>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E-4528-A6DE-852D885B8D00}"/>
            </c:ext>
          </c:extLst>
        </c:ser>
        <c:ser>
          <c:idx val="2"/>
          <c:order val="1"/>
          <c:tx>
            <c:strRef>
              <c:f>Q6_stages!$D$1</c:f>
              <c:strCache>
                <c:ptCount val="1"/>
                <c:pt idx="0">
                  <c:v>avg_transit_days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Q6_stages!$A$2:$A$3</c:f>
              <c:strCache>
                <c:ptCount val="2"/>
                <c:pt idx="0">
                  <c:v>On time</c:v>
                </c:pt>
                <c:pt idx="1">
                  <c:v>Late</c:v>
                </c:pt>
              </c:strCache>
            </c:strRef>
          </c:cat>
          <c:val>
            <c:numRef>
              <c:f>Q6_stages!$D$2:$D$3</c:f>
              <c:numCache>
                <c:formatCode>General</c:formatCode>
                <c:ptCount val="2"/>
                <c:pt idx="0">
                  <c:v>7.99</c:v>
                </c:pt>
                <c:pt idx="1">
                  <c:v>27.9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3E-4528-A6DE-852D885B8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8850159"/>
        <c:axId val="1378930959"/>
      </c:barChart>
      <c:catAx>
        <c:axId val="138885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930959"/>
        <c:crosses val="autoZero"/>
        <c:auto val="1"/>
        <c:lblAlgn val="ctr"/>
        <c:lblOffset val="100"/>
        <c:noMultiLvlLbl val="0"/>
      </c:catAx>
      <c:valAx>
        <c:axId val="137893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85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8</xdr:row>
      <xdr:rowOff>26670</xdr:rowOff>
    </xdr:from>
    <xdr:to>
      <xdr:col>2</xdr:col>
      <xdr:colOff>1432560</xdr:colOff>
      <xdr:row>23</xdr:row>
      <xdr:rowOff>26670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2EB7764-DE63-1929-DA9F-BE9C27D90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1569720</xdr:colOff>
      <xdr:row>8</xdr:row>
      <xdr:rowOff>34290</xdr:rowOff>
    </xdr:from>
    <xdr:to>
      <xdr:col>5</xdr:col>
      <xdr:colOff>1363980</xdr:colOff>
      <xdr:row>23</xdr:row>
      <xdr:rowOff>34290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F27634F2-9486-0D35-4025-F81C4A0E7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1478280</xdr:colOff>
      <xdr:row>8</xdr:row>
      <xdr:rowOff>49530</xdr:rowOff>
    </xdr:from>
    <xdr:to>
      <xdr:col>10</xdr:col>
      <xdr:colOff>167640</xdr:colOff>
      <xdr:row>23</xdr:row>
      <xdr:rowOff>49530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80B6396-B764-39E5-55B7-6D068FE43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stonbek Saburov" refreshedDate="46322.662191782409" createdVersion="8" refreshedVersion="8" minRefreshableVersion="3" recordCount="20" xr:uid="{538F5633-96D0-41AB-B9EA-2142DBE53DD5}">
  <cacheSource type="worksheet">
    <worksheetSource name="tbl_monthly"/>
  </cacheSource>
  <cacheFields count="6">
    <cacheField name="order_month" numFmtId="165">
      <sharedItems containsSemiMixedTypes="0" containsNonDate="0" containsDate="1" containsString="0" minDate="2017-01-01T00:00:00" maxDate="2018-08-02T00:00:00" count="20"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</sharedItems>
      <fieldGroup par="5"/>
    </cacheField>
    <cacheField name="delivered_orders" numFmtId="0">
      <sharedItems containsSemiMixedTypes="0" containsString="0" containsNumber="1" containsInteger="1" minValue="749" maxValue="7288"/>
    </cacheField>
    <cacheField name="previous_month_orders" numFmtId="0">
      <sharedItems containsString="0" containsBlank="1" containsNumber="1" containsInteger="1" minValue="749" maxValue="7288"/>
    </cacheField>
    <cacheField name="percentage_change" numFmtId="0">
      <sharedItems containsString="0" containsBlank="1" containsNumber="1" minValue="-24.36" maxValue="120.43"/>
    </cacheField>
    <cacheField name="Quarters (order_month)" numFmtId="0" databaseField="0">
      <fieldGroup base="0">
        <rangePr groupBy="quarters" startDate="2017-01-01T00:00:00" endDate="2018-08-02T00:00:00"/>
        <groupItems count="6">
          <s v="&lt;1/1/2017"/>
          <s v="Qtr1"/>
          <s v="Qtr2"/>
          <s v="Qtr3"/>
          <s v="Qtr4"/>
          <s v="&gt;8/2/2018"/>
        </groupItems>
      </fieldGroup>
    </cacheField>
    <cacheField name="Years (order_month)" numFmtId="0" databaseField="0">
      <fieldGroup base="0">
        <rangePr groupBy="years" startDate="2017-01-01T00:00:00" endDate="2018-08-02T00:00:00"/>
        <groupItems count="4">
          <s v="&lt;1/1/2017"/>
          <s v="2017"/>
          <s v="2018"/>
          <s v="&gt;8/2/2018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749"/>
    <m/>
    <m/>
  </r>
  <r>
    <x v="1"/>
    <n v="1651"/>
    <n v="749"/>
    <n v="120.43"/>
  </r>
  <r>
    <x v="2"/>
    <n v="2545"/>
    <n v="1651"/>
    <n v="54.15"/>
  </r>
  <r>
    <x v="3"/>
    <n v="2303"/>
    <n v="2545"/>
    <n v="-9.51"/>
  </r>
  <r>
    <x v="4"/>
    <n v="3544"/>
    <n v="2303"/>
    <n v="53.89"/>
  </r>
  <r>
    <x v="5"/>
    <n v="3134"/>
    <n v="3544"/>
    <n v="-11.57"/>
  </r>
  <r>
    <x v="6"/>
    <n v="3861"/>
    <n v="3134"/>
    <n v="23.2"/>
  </r>
  <r>
    <x v="7"/>
    <n v="4191"/>
    <n v="3861"/>
    <n v="8.5500000000000007"/>
  </r>
  <r>
    <x v="8"/>
    <n v="4149"/>
    <n v="4191"/>
    <n v="-1"/>
  </r>
  <r>
    <x v="9"/>
    <n v="4478"/>
    <n v="4149"/>
    <n v="7.93"/>
  </r>
  <r>
    <x v="10"/>
    <n v="7288"/>
    <n v="4478"/>
    <n v="62.75"/>
  </r>
  <r>
    <x v="11"/>
    <n v="5513"/>
    <n v="7288"/>
    <n v="-24.36"/>
  </r>
  <r>
    <x v="12"/>
    <n v="7069"/>
    <n v="5513"/>
    <n v="28.22"/>
  </r>
  <r>
    <x v="13"/>
    <n v="6555"/>
    <n v="7069"/>
    <n v="-7.27"/>
  </r>
  <r>
    <x v="14"/>
    <n v="7003"/>
    <n v="6555"/>
    <n v="6.83"/>
  </r>
  <r>
    <x v="15"/>
    <n v="6791"/>
    <n v="7003"/>
    <n v="-3.03"/>
  </r>
  <r>
    <x v="16"/>
    <n v="6719"/>
    <n v="6791"/>
    <n v="-1.06"/>
  </r>
  <r>
    <x v="17"/>
    <n v="6050"/>
    <n v="6719"/>
    <n v="-9.9600000000000009"/>
  </r>
  <r>
    <x v="18"/>
    <n v="6119"/>
    <n v="6050"/>
    <n v="1.1399999999999999"/>
  </r>
  <r>
    <x v="19"/>
    <n v="6306"/>
    <n v="6119"/>
    <n v="3.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D96F0-9315-4214-939D-BEB38E91AE3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6">
    <pivotField numFmtId="165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5"/>
    <field x="4"/>
  </rowFields>
  <rowItems count="10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delivered_order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550CD-C621-4137-9E64-1EE878BA11D5}" name="tbl_monthly" displayName="tbl_monthly" ref="A1:D21" totalsRowShown="0">
  <autoFilter ref="A1:D21" xr:uid="{1F1550CD-C621-4137-9E64-1EE878BA11D5}"/>
  <tableColumns count="4">
    <tableColumn id="1" xr3:uid="{7C7FB5BC-F952-460C-8221-0CEDDAC48EED}" name="order_month" dataDxfId="4"/>
    <tableColumn id="2" xr3:uid="{1C493DCB-B83A-4110-AB9A-8DD137978949}" name="delivered_orders"/>
    <tableColumn id="3" xr3:uid="{B8E63F32-AB1B-4570-BC37-49925FB1CCB4}" name="previous_month_orders"/>
    <tableColumn id="4" xr3:uid="{480D2A6B-4322-4AD1-9BBF-46713923D470}" name="percentage_chan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0609D4-FD12-4D33-A308-04E65C660D97}" name="tbl_delivery_time" displayName="tbl_delivery_time" ref="A1:D21" totalsRowShown="0">
  <autoFilter ref="A1:D21" xr:uid="{780609D4-FD12-4D33-A308-04E65C660D97}"/>
  <tableColumns count="4">
    <tableColumn id="1" xr3:uid="{187032E6-ABE3-4783-B5FA-D3F5088102AE}" name="order_month" dataDxfId="3"/>
    <tableColumn id="2" xr3:uid="{CDB0E035-6E29-4F23-8D06-3152F405B03E}" name="delivered_orders"/>
    <tableColumn id="3" xr3:uid="{78E1D243-93E5-4A15-BEF3-5188613434AA}" name="avg_delivery_days"/>
    <tableColumn id="4" xr3:uid="{21572C77-724D-409F-AB63-D74AED0B0806}" name="median_delivery_day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882D3E-114D-4995-B1F8-0E018B197C18}" name="tbl_on_time" displayName="tbl_on_time" ref="A1:D21" totalsRowShown="0">
  <autoFilter ref="A1:D21" xr:uid="{AD882D3E-114D-4995-B1F8-0E018B197C18}"/>
  <tableColumns count="4">
    <tableColumn id="1" xr3:uid="{3ECD73D1-9615-4CE9-9269-9750FC02EA25}" name="order_month" dataDxfId="2"/>
    <tableColumn id="2" xr3:uid="{CD333C29-4C78-47F2-8F4A-DFC4FB856554}" name="delivered_orders"/>
    <tableColumn id="3" xr3:uid="{23170D50-CABC-49B1-9ECF-A268E45989A8}" name="late_orders"/>
    <tableColumn id="4" xr3:uid="{69A4D597-5039-4396-9A9D-A5A111B18EE8}" name="on_time_rate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D1FE12-9186-4CF7-A842-BD73C360CF77}" name="tbl_state_late" displayName="tbl_state_late" ref="A1:F18" totalsRowShown="0">
  <autoFilter ref="A1:F18" xr:uid="{BCD1FE12-9186-4CF7-A842-BD73C360CF77}"/>
  <sortState xmlns:xlrd2="http://schemas.microsoft.com/office/spreadsheetml/2017/richdata2" ref="A2:F18">
    <sortCondition ref="F1:F18"/>
  </sortState>
  <tableColumns count="6">
    <tableColumn id="1" xr3:uid="{6C6CBE81-B5F2-4E6C-89DA-99B3D5698C76}" name="customer_state"/>
    <tableColumn id="2" xr3:uid="{FA932B00-546F-47DD-980A-27D7F5B68C23}" name="delivered_orders"/>
    <tableColumn id="3" xr3:uid="{8E17A06B-1C5C-4B89-894E-EADD1F7DF9D2}" name="late_orders"/>
    <tableColumn id="4" xr3:uid="{D198F385-E61C-4714-87DC-D5DE13E782B5}" name="late_percentage"/>
    <tableColumn id="5" xr3:uid="{80B6B529-1E9A-490B-9D0F-A01153F061E7}" name="avg_freight" dataDxfId="1">
      <calculatedColumnFormula>_xlfn.XLOOKUP(A2,Q5_freight!$A$2:$A$18,Q5_freight!$C$2:$C$18,"n/a")</calculatedColumnFormula>
    </tableColumn>
    <tableColumn id="6" xr3:uid="{B155A444-F4E3-4AE0-87C7-37A85B3FED6A}" name="excess_late_orders" dataDxfId="0">
      <calculatedColumnFormula>ROUND(C2-B2*SUM($C$2:$C$18)/SUM($B$2:$B$18),0)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95C114-EF88-4C89-BC3A-C5C671421A30}" name="tbl_state_freight" displayName="tbl_state_freight" ref="A1:D18" totalsRowShown="0">
  <autoFilter ref="A1:D18" xr:uid="{A595C114-EF88-4C89-BC3A-C5C671421A30}"/>
  <tableColumns count="4">
    <tableColumn id="1" xr3:uid="{2915B520-A2F9-4FEF-88F3-FA02BACAC073}" name="customer_state"/>
    <tableColumn id="2" xr3:uid="{7A203724-EC08-4BFE-8C7E-37B3707573A0}" name="delivered_orders"/>
    <tableColumn id="3" xr3:uid="{08D9BE3D-D3E8-468B-BCA2-92A177B45F2C}" name="avg_freight_per_order"/>
    <tableColumn id="4" xr3:uid="{0ADA79C1-6683-4D1C-87C6-6AAF7D0B34DD}" name="freight_share_p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187BCC-4DA7-4460-85B7-C75630864E47}" name="tbl_stages" displayName="tbl_stages" ref="A1:D3" totalsRowShown="0">
  <autoFilter ref="A1:D3" xr:uid="{9A187BCC-4DA7-4460-85B7-C75630864E47}"/>
  <tableColumns count="4">
    <tableColumn id="1" xr3:uid="{64CC9B48-97DF-4EB3-BE5C-B896A2A5F595}" name="is_late"/>
    <tableColumn id="2" xr3:uid="{B4B8ED6F-85AE-46C4-B6EC-6B57BFB4E024}" name="delivered_orders"/>
    <tableColumn id="3" xr3:uid="{79B5775C-EFFF-437A-A28F-80D47BE4C132}" name="avg_seller_days"/>
    <tableColumn id="4" xr3:uid="{14F8968F-C5FB-4125-A4B5-75B9E299C2D4}" name="avg_transit_day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403F66-6F94-47B2-959F-3913B6EFEE84}" name="tbl_reviews" displayName="tbl_reviews" ref="A1:D3" totalsRowShown="0">
  <autoFilter ref="A1:D3" xr:uid="{B3403F66-6F94-47B2-959F-3913B6EFEE84}"/>
  <tableColumns count="4">
    <tableColumn id="1" xr3:uid="{2C9C851E-5B68-4462-8A30-CC233BF8611D}" name="is_late"/>
    <tableColumn id="2" xr3:uid="{35F4D331-AAC6-45D3-AA79-BC9BF2F9F363}" name="delivered_orders"/>
    <tableColumn id="3" xr3:uid="{D9A3BB83-010A-4D4C-92C7-31A9365E4311}" name="avg_review_score"/>
    <tableColumn id="4" xr3:uid="{544BDF25-3283-4656-83CA-4846751A7BAC}" name="low_score_pc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5D1E00-9424-40AF-81E3-AF98A15ABBCB}" name="tbl_sellers" displayName="tbl_sellers" ref="A1:D11" totalsRowShown="0">
  <autoFilter ref="A1:D11" xr:uid="{245D1E00-9424-40AF-81E3-AF98A15ABBCB}"/>
  <tableColumns count="4">
    <tableColumn id="1" xr3:uid="{B138950A-5EA8-4BF9-B697-9E5B6FF5BEED}" name="seller_id"/>
    <tableColumn id="2" xr3:uid="{CAC12233-3BE5-460F-976D-306F2C43C7F9}" name="delivered_orders"/>
    <tableColumn id="3" xr3:uid="{2E58F174-0EAD-4534-A9A7-022D61BF02D4}" name="late_percentage"/>
    <tableColumn id="4" xr3:uid="{624D34AA-BA05-44E7-A03F-B03E0AE119D5}" name="avg_seller_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E746-F5CF-492D-98EB-56A056FED2BA}">
  <dimension ref="A1:H5"/>
  <sheetViews>
    <sheetView showGridLines="0" tabSelected="1" workbookViewId="0">
      <selection activeCell="F40" sqref="F40"/>
    </sheetView>
  </sheetViews>
  <sheetFormatPr defaultRowHeight="14.4"/>
  <cols>
    <col min="1" max="5" width="23.21875" customWidth="1"/>
    <col min="6" max="6" width="32.88671875" customWidth="1"/>
    <col min="7" max="8" width="17.5546875" customWidth="1"/>
  </cols>
  <sheetData>
    <row r="1" spans="1:8" ht="23.4">
      <c r="A1" s="12" t="s">
        <v>64</v>
      </c>
    </row>
    <row r="3" spans="1:8">
      <c r="B3" s="10" t="s">
        <v>60</v>
      </c>
      <c r="C3" s="8"/>
      <c r="D3" s="10" t="s">
        <v>61</v>
      </c>
      <c r="E3" s="8"/>
      <c r="F3" s="11" t="s">
        <v>62</v>
      </c>
      <c r="G3" s="9"/>
      <c r="H3" s="10" t="s">
        <v>63</v>
      </c>
    </row>
    <row r="4" spans="1:8" s="7" customFormat="1" ht="31.2">
      <c r="B4" s="14">
        <f>SUM(Q1_monthly!B2:B21)</f>
        <v>96018</v>
      </c>
      <c r="C4" s="16"/>
      <c r="D4" s="15">
        <f>ROUND((1-SUM(Q3_on_time!C2:C21)/SUM(Q3_on_time!B2:B21))*100,1)</f>
        <v>93.2</v>
      </c>
      <c r="E4" s="17"/>
      <c r="F4" s="13" t="str">
        <f>TEXT(Q7_reviews!D3,"0.0")&amp;"% vs "&amp;TEXT(Q7_reviews!D2,"0.0")&amp;"%"</f>
        <v>62.4% vs 9.2%</v>
      </c>
      <c r="G4" s="16"/>
      <c r="H4" s="13">
        <f>_xlfn.XLOOKUP("RJ",Q4_state!A2:A18,Q4_state!F2:F18)</f>
        <v>676</v>
      </c>
    </row>
    <row r="5" spans="1:8">
      <c r="B5" t="str">
        <f>"Insight: "&amp;Q4_state!I1&amp;" states with late rate above 10% account for "&amp;Q4_state!I2&amp;"% of orders but "&amp;Q4_state!I3&amp;"% of late orders."</f>
        <v>Insight: 7 states with late rate above 10% account for 22.4% of orders but 41.1% of late orders.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4532-4112-4D97-BA0E-8F80F954BF44}">
  <dimension ref="A3:B15"/>
  <sheetViews>
    <sheetView workbookViewId="0">
      <selection activeCell="C18" sqref="C18"/>
    </sheetView>
  </sheetViews>
  <sheetFormatPr defaultRowHeight="14.4"/>
  <cols>
    <col min="1" max="1" width="12.88671875" customWidth="1"/>
    <col min="2" max="2" width="21.88671875" bestFit="1" customWidth="1"/>
    <col min="3" max="4" width="24.33203125" bestFit="1" customWidth="1"/>
  </cols>
  <sheetData>
    <row r="3" spans="1:2">
      <c r="A3" s="4" t="s">
        <v>50</v>
      </c>
      <c r="B3" t="s">
        <v>54</v>
      </c>
    </row>
    <row r="4" spans="1:2">
      <c r="A4" s="5" t="s">
        <v>52</v>
      </c>
      <c r="B4" s="2">
        <v>43406</v>
      </c>
    </row>
    <row r="5" spans="1:2">
      <c r="A5" s="6" t="s">
        <v>55</v>
      </c>
      <c r="B5" s="2">
        <v>4945</v>
      </c>
    </row>
    <row r="6" spans="1:2">
      <c r="A6" s="6" t="s">
        <v>56</v>
      </c>
      <c r="B6" s="2">
        <v>8981</v>
      </c>
    </row>
    <row r="7" spans="1:2">
      <c r="A7" s="6" t="s">
        <v>57</v>
      </c>
      <c r="B7" s="2">
        <v>12201</v>
      </c>
    </row>
    <row r="8" spans="1:2">
      <c r="A8" s="6" t="s">
        <v>58</v>
      </c>
      <c r="B8" s="2">
        <v>17279</v>
      </c>
    </row>
    <row r="9" spans="1:2">
      <c r="A9" s="5" t="s">
        <v>53</v>
      </c>
      <c r="B9" s="2">
        <v>52612</v>
      </c>
    </row>
    <row r="10" spans="1:2">
      <c r="A10" s="6" t="s">
        <v>55</v>
      </c>
      <c r="B10" s="2">
        <v>20627</v>
      </c>
    </row>
    <row r="11" spans="1:2">
      <c r="A11" s="6" t="s">
        <v>56</v>
      </c>
      <c r="B11" s="2">
        <v>19560</v>
      </c>
    </row>
    <row r="12" spans="1:2">
      <c r="A12" s="6" t="s">
        <v>57</v>
      </c>
      <c r="B12" s="2">
        <v>12425</v>
      </c>
    </row>
    <row r="13" spans="1:2">
      <c r="A13" s="5" t="s">
        <v>51</v>
      </c>
      <c r="B13" s="2">
        <v>96018</v>
      </c>
    </row>
    <row r="15" spans="1:2">
      <c r="A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A3" sqref="A3"/>
    </sheetView>
  </sheetViews>
  <sheetFormatPr defaultRowHeight="14.4"/>
  <cols>
    <col min="1" max="1" width="19.21875" style="1" customWidth="1"/>
    <col min="2" max="2" width="19.21875" customWidth="1"/>
    <col min="3" max="3" width="23.109375" customWidth="1"/>
    <col min="4" max="4" width="19.44140625" customWidth="1"/>
    <col min="5" max="5" width="19.218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42736</v>
      </c>
      <c r="B2">
        <v>749</v>
      </c>
    </row>
    <row r="3" spans="1:4">
      <c r="A3" s="1">
        <v>42767</v>
      </c>
      <c r="B3">
        <v>1651</v>
      </c>
      <c r="C3">
        <v>749</v>
      </c>
      <c r="D3">
        <v>120.43</v>
      </c>
    </row>
    <row r="4" spans="1:4">
      <c r="A4" s="1">
        <v>42795</v>
      </c>
      <c r="B4">
        <v>2545</v>
      </c>
      <c r="C4">
        <v>1651</v>
      </c>
      <c r="D4">
        <v>54.15</v>
      </c>
    </row>
    <row r="5" spans="1:4">
      <c r="A5" s="1">
        <v>42826</v>
      </c>
      <c r="B5">
        <v>2303</v>
      </c>
      <c r="C5">
        <v>2545</v>
      </c>
      <c r="D5">
        <v>-9.51</v>
      </c>
    </row>
    <row r="6" spans="1:4">
      <c r="A6" s="1">
        <v>42856</v>
      </c>
      <c r="B6">
        <v>3544</v>
      </c>
      <c r="C6">
        <v>2303</v>
      </c>
      <c r="D6">
        <v>53.89</v>
      </c>
    </row>
    <row r="7" spans="1:4">
      <c r="A7" s="1">
        <v>42887</v>
      </c>
      <c r="B7">
        <v>3134</v>
      </c>
      <c r="C7">
        <v>3544</v>
      </c>
      <c r="D7">
        <v>-11.57</v>
      </c>
    </row>
    <row r="8" spans="1:4">
      <c r="A8" s="1">
        <v>42917</v>
      </c>
      <c r="B8">
        <v>3861</v>
      </c>
      <c r="C8">
        <v>3134</v>
      </c>
      <c r="D8">
        <v>23.2</v>
      </c>
    </row>
    <row r="9" spans="1:4">
      <c r="A9" s="1">
        <v>42948</v>
      </c>
      <c r="B9">
        <v>4191</v>
      </c>
      <c r="C9">
        <v>3861</v>
      </c>
      <c r="D9">
        <v>8.5500000000000007</v>
      </c>
    </row>
    <row r="10" spans="1:4">
      <c r="A10" s="1">
        <v>42979</v>
      </c>
      <c r="B10">
        <v>4149</v>
      </c>
      <c r="C10">
        <v>4191</v>
      </c>
      <c r="D10">
        <v>-1</v>
      </c>
    </row>
    <row r="11" spans="1:4">
      <c r="A11" s="1">
        <v>43009</v>
      </c>
      <c r="B11">
        <v>4478</v>
      </c>
      <c r="C11">
        <v>4149</v>
      </c>
      <c r="D11">
        <v>7.93</v>
      </c>
    </row>
    <row r="12" spans="1:4">
      <c r="A12" s="1">
        <v>43040</v>
      </c>
      <c r="B12">
        <v>7288</v>
      </c>
      <c r="C12">
        <v>4478</v>
      </c>
      <c r="D12">
        <v>62.75</v>
      </c>
    </row>
    <row r="13" spans="1:4">
      <c r="A13" s="1">
        <v>43070</v>
      </c>
      <c r="B13">
        <v>5513</v>
      </c>
      <c r="C13">
        <v>7288</v>
      </c>
      <c r="D13">
        <v>-24.36</v>
      </c>
    </row>
    <row r="14" spans="1:4">
      <c r="A14" s="1">
        <v>43101</v>
      </c>
      <c r="B14">
        <v>7069</v>
      </c>
      <c r="C14">
        <v>5513</v>
      </c>
      <c r="D14">
        <v>28.22</v>
      </c>
    </row>
    <row r="15" spans="1:4">
      <c r="A15" s="1">
        <v>43132</v>
      </c>
      <c r="B15">
        <v>6555</v>
      </c>
      <c r="C15">
        <v>7069</v>
      </c>
      <c r="D15">
        <v>-7.27</v>
      </c>
    </row>
    <row r="16" spans="1:4">
      <c r="A16" s="1">
        <v>43160</v>
      </c>
      <c r="B16">
        <v>7003</v>
      </c>
      <c r="C16">
        <v>6555</v>
      </c>
      <c r="D16">
        <v>6.83</v>
      </c>
    </row>
    <row r="17" spans="1:4">
      <c r="A17" s="1">
        <v>43191</v>
      </c>
      <c r="B17">
        <v>6791</v>
      </c>
      <c r="C17">
        <v>7003</v>
      </c>
      <c r="D17">
        <v>-3.03</v>
      </c>
    </row>
    <row r="18" spans="1:4">
      <c r="A18" s="1">
        <v>43221</v>
      </c>
      <c r="B18">
        <v>6719</v>
      </c>
      <c r="C18">
        <v>6791</v>
      </c>
      <c r="D18">
        <v>-1.06</v>
      </c>
    </row>
    <row r="19" spans="1:4">
      <c r="A19" s="1">
        <v>43252</v>
      </c>
      <c r="B19">
        <v>6050</v>
      </c>
      <c r="C19">
        <v>6719</v>
      </c>
      <c r="D19">
        <v>-9.9600000000000009</v>
      </c>
    </row>
    <row r="20" spans="1:4">
      <c r="A20" s="1">
        <v>43282</v>
      </c>
      <c r="B20">
        <v>6119</v>
      </c>
      <c r="C20">
        <v>6050</v>
      </c>
      <c r="D20">
        <v>1.1399999999999999</v>
      </c>
    </row>
    <row r="21" spans="1:4">
      <c r="A21" s="1">
        <v>43313</v>
      </c>
      <c r="B21">
        <v>6306</v>
      </c>
      <c r="C21">
        <v>6119</v>
      </c>
      <c r="D21">
        <v>3.06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786F-6B85-4639-AAF2-3D72F7500B7D}">
  <dimension ref="A1:D21"/>
  <sheetViews>
    <sheetView workbookViewId="0">
      <selection activeCell="B24" sqref="B24"/>
    </sheetView>
  </sheetViews>
  <sheetFormatPr defaultRowHeight="14.4"/>
  <cols>
    <col min="1" max="1" width="23.77734375" style="1" customWidth="1"/>
    <col min="2" max="5" width="23.77734375" customWidth="1"/>
  </cols>
  <sheetData>
    <row r="1" spans="1:4">
      <c r="A1" s="1" t="s">
        <v>0</v>
      </c>
      <c r="B1" t="s">
        <v>1</v>
      </c>
      <c r="C1" t="s">
        <v>4</v>
      </c>
      <c r="D1" t="s">
        <v>5</v>
      </c>
    </row>
    <row r="2" spans="1:4">
      <c r="A2" s="1">
        <v>42736</v>
      </c>
      <c r="B2">
        <v>749</v>
      </c>
      <c r="C2">
        <v>12.6</v>
      </c>
      <c r="D2">
        <v>10.8</v>
      </c>
    </row>
    <row r="3" spans="1:4">
      <c r="A3" s="1">
        <v>42767</v>
      </c>
      <c r="B3">
        <v>1651</v>
      </c>
      <c r="C3">
        <v>13.2</v>
      </c>
      <c r="D3">
        <v>11</v>
      </c>
    </row>
    <row r="4" spans="1:4">
      <c r="A4" s="1">
        <v>42795</v>
      </c>
      <c r="B4">
        <v>2545</v>
      </c>
      <c r="C4">
        <v>13</v>
      </c>
      <c r="D4">
        <v>10.1</v>
      </c>
    </row>
    <row r="5" spans="1:4">
      <c r="A5" s="1">
        <v>42826</v>
      </c>
      <c r="B5">
        <v>2303</v>
      </c>
      <c r="C5">
        <v>14.9</v>
      </c>
      <c r="D5">
        <v>12.8</v>
      </c>
    </row>
    <row r="6" spans="1:4">
      <c r="A6" s="1">
        <v>42856</v>
      </c>
      <c r="B6">
        <v>3544</v>
      </c>
      <c r="C6">
        <v>11.3</v>
      </c>
      <c r="D6">
        <v>9.8000000000000007</v>
      </c>
    </row>
    <row r="7" spans="1:4">
      <c r="A7" s="1">
        <v>42887</v>
      </c>
      <c r="B7">
        <v>3134</v>
      </c>
      <c r="C7">
        <v>12</v>
      </c>
      <c r="D7">
        <v>10.8</v>
      </c>
    </row>
    <row r="8" spans="1:4">
      <c r="A8" s="1">
        <v>42917</v>
      </c>
      <c r="B8">
        <v>3861</v>
      </c>
      <c r="C8">
        <v>11.6</v>
      </c>
      <c r="D8">
        <v>10.199999999999999</v>
      </c>
    </row>
    <row r="9" spans="1:4">
      <c r="A9" s="1">
        <v>42948</v>
      </c>
      <c r="B9">
        <v>4191</v>
      </c>
      <c r="C9">
        <v>11.2</v>
      </c>
      <c r="D9">
        <v>9.8000000000000007</v>
      </c>
    </row>
    <row r="10" spans="1:4">
      <c r="A10" s="1">
        <v>42979</v>
      </c>
      <c r="B10">
        <v>4149</v>
      </c>
      <c r="C10">
        <v>11.8</v>
      </c>
      <c r="D10">
        <v>10.3</v>
      </c>
    </row>
    <row r="11" spans="1:4">
      <c r="A11" s="1">
        <v>43009</v>
      </c>
      <c r="B11">
        <v>4478</v>
      </c>
      <c r="C11">
        <v>11.9</v>
      </c>
      <c r="D11">
        <v>10.3</v>
      </c>
    </row>
    <row r="12" spans="1:4">
      <c r="A12" s="1">
        <v>43040</v>
      </c>
      <c r="B12">
        <v>7288</v>
      </c>
      <c r="C12">
        <v>15.2</v>
      </c>
      <c r="D12">
        <v>12.7</v>
      </c>
    </row>
    <row r="13" spans="1:4">
      <c r="A13" s="1">
        <v>43070</v>
      </c>
      <c r="B13">
        <v>5513</v>
      </c>
      <c r="C13">
        <v>15.4</v>
      </c>
      <c r="D13">
        <v>13.1</v>
      </c>
    </row>
    <row r="14" spans="1:4">
      <c r="A14" s="1">
        <v>43101</v>
      </c>
      <c r="B14">
        <v>7069</v>
      </c>
      <c r="C14">
        <v>14.1</v>
      </c>
      <c r="D14">
        <v>11.8</v>
      </c>
    </row>
    <row r="15" spans="1:4">
      <c r="A15" s="1">
        <v>43132</v>
      </c>
      <c r="B15">
        <v>6555</v>
      </c>
      <c r="C15">
        <v>16.899999999999999</v>
      </c>
      <c r="D15">
        <v>14.3</v>
      </c>
    </row>
    <row r="16" spans="1:4">
      <c r="A16" s="1">
        <v>43160</v>
      </c>
      <c r="B16">
        <v>7003</v>
      </c>
      <c r="C16">
        <v>16.3</v>
      </c>
      <c r="D16">
        <v>13.4</v>
      </c>
    </row>
    <row r="17" spans="1:4">
      <c r="A17" s="1">
        <v>43191</v>
      </c>
      <c r="B17">
        <v>6791</v>
      </c>
      <c r="C17">
        <v>11.5</v>
      </c>
      <c r="D17">
        <v>9.3000000000000007</v>
      </c>
    </row>
    <row r="18" spans="1:4">
      <c r="A18" s="1">
        <v>43221</v>
      </c>
      <c r="B18">
        <v>6719</v>
      </c>
      <c r="C18">
        <v>11.4</v>
      </c>
      <c r="D18">
        <v>9.1999999999999993</v>
      </c>
    </row>
    <row r="19" spans="1:4">
      <c r="A19" s="1">
        <v>43252</v>
      </c>
      <c r="B19">
        <v>6050</v>
      </c>
      <c r="C19">
        <v>9.1999999999999993</v>
      </c>
      <c r="D19">
        <v>8</v>
      </c>
    </row>
    <row r="20" spans="1:4">
      <c r="A20" s="1">
        <v>43282</v>
      </c>
      <c r="B20">
        <v>6119</v>
      </c>
      <c r="C20">
        <v>9</v>
      </c>
      <c r="D20">
        <v>7.5</v>
      </c>
    </row>
    <row r="21" spans="1:4">
      <c r="A21" s="1">
        <v>43313</v>
      </c>
      <c r="B21">
        <v>6306</v>
      </c>
      <c r="C21">
        <v>7.7</v>
      </c>
      <c r="D21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485A-CDAE-4862-9BBC-227732047B78}">
  <dimension ref="A1:D21"/>
  <sheetViews>
    <sheetView workbookViewId="0">
      <selection activeCell="N8" sqref="N8"/>
    </sheetView>
  </sheetViews>
  <sheetFormatPr defaultRowHeight="14.4"/>
  <cols>
    <col min="1" max="1" width="23.44140625" style="1" customWidth="1"/>
    <col min="2" max="4" width="23.44140625" customWidth="1"/>
  </cols>
  <sheetData>
    <row r="1" spans="1:4">
      <c r="A1" s="1" t="s">
        <v>0</v>
      </c>
      <c r="B1" t="s">
        <v>1</v>
      </c>
      <c r="C1" t="s">
        <v>6</v>
      </c>
      <c r="D1" t="s">
        <v>7</v>
      </c>
    </row>
    <row r="2" spans="1:4">
      <c r="A2" s="1">
        <v>42736</v>
      </c>
      <c r="B2">
        <v>749</v>
      </c>
      <c r="C2">
        <v>22</v>
      </c>
      <c r="D2">
        <v>97.06</v>
      </c>
    </row>
    <row r="3" spans="1:4">
      <c r="A3" s="1">
        <v>42767</v>
      </c>
      <c r="B3">
        <v>1651</v>
      </c>
      <c r="C3">
        <v>49</v>
      </c>
      <c r="D3">
        <v>97.03</v>
      </c>
    </row>
    <row r="4" spans="1:4">
      <c r="A4" s="1">
        <v>42795</v>
      </c>
      <c r="B4">
        <v>2545</v>
      </c>
      <c r="C4">
        <v>116</v>
      </c>
      <c r="D4">
        <v>95.44</v>
      </c>
    </row>
    <row r="5" spans="1:4">
      <c r="A5" s="1">
        <v>42826</v>
      </c>
      <c r="B5">
        <v>2303</v>
      </c>
      <c r="C5">
        <v>151</v>
      </c>
      <c r="D5">
        <v>93.44</v>
      </c>
    </row>
    <row r="6" spans="1:4">
      <c r="A6" s="1">
        <v>42856</v>
      </c>
      <c r="B6">
        <v>3544</v>
      </c>
      <c r="C6">
        <v>106</v>
      </c>
      <c r="D6">
        <v>97.01</v>
      </c>
    </row>
    <row r="7" spans="1:4">
      <c r="A7" s="1">
        <v>42887</v>
      </c>
      <c r="B7">
        <v>3134</v>
      </c>
      <c r="C7">
        <v>95</v>
      </c>
      <c r="D7">
        <v>96.97</v>
      </c>
    </row>
    <row r="8" spans="1:4">
      <c r="A8" s="1">
        <v>42917</v>
      </c>
      <c r="B8">
        <v>3861</v>
      </c>
      <c r="C8">
        <v>108</v>
      </c>
      <c r="D8">
        <v>97.2</v>
      </c>
    </row>
    <row r="9" spans="1:4">
      <c r="A9" s="1">
        <v>42948</v>
      </c>
      <c r="B9">
        <v>4191</v>
      </c>
      <c r="C9">
        <v>122</v>
      </c>
      <c r="D9">
        <v>97.09</v>
      </c>
    </row>
    <row r="10" spans="1:4">
      <c r="A10" s="1">
        <v>42979</v>
      </c>
      <c r="B10">
        <v>4149</v>
      </c>
      <c r="C10">
        <v>181</v>
      </c>
      <c r="D10">
        <v>95.64</v>
      </c>
    </row>
    <row r="11" spans="1:4">
      <c r="A11" s="1">
        <v>43009</v>
      </c>
      <c r="B11">
        <v>4478</v>
      </c>
      <c r="C11">
        <v>187</v>
      </c>
      <c r="D11">
        <v>95.82</v>
      </c>
    </row>
    <row r="12" spans="1:4">
      <c r="A12" s="1">
        <v>43040</v>
      </c>
      <c r="B12">
        <v>7288</v>
      </c>
      <c r="C12">
        <v>904</v>
      </c>
      <c r="D12">
        <v>87.6</v>
      </c>
    </row>
    <row r="13" spans="1:4">
      <c r="A13" s="1">
        <v>43070</v>
      </c>
      <c r="B13">
        <v>5513</v>
      </c>
      <c r="C13">
        <v>411</v>
      </c>
      <c r="D13">
        <v>92.54</v>
      </c>
    </row>
    <row r="14" spans="1:4">
      <c r="A14" s="1">
        <v>43101</v>
      </c>
      <c r="B14">
        <v>7069</v>
      </c>
      <c r="C14">
        <v>403</v>
      </c>
      <c r="D14">
        <v>94.3</v>
      </c>
    </row>
    <row r="15" spans="1:4">
      <c r="A15" s="1">
        <v>43132</v>
      </c>
      <c r="B15">
        <v>6555</v>
      </c>
      <c r="C15">
        <v>926</v>
      </c>
      <c r="D15">
        <v>85.87</v>
      </c>
    </row>
    <row r="16" spans="1:4">
      <c r="A16" s="1">
        <v>43160</v>
      </c>
      <c r="B16">
        <v>7003</v>
      </c>
      <c r="C16">
        <v>1328</v>
      </c>
      <c r="D16">
        <v>81.040000000000006</v>
      </c>
    </row>
    <row r="17" spans="1:4">
      <c r="A17" s="1">
        <v>43191</v>
      </c>
      <c r="B17">
        <v>6791</v>
      </c>
      <c r="C17">
        <v>306</v>
      </c>
      <c r="D17">
        <v>95.49</v>
      </c>
    </row>
    <row r="18" spans="1:4">
      <c r="A18" s="1">
        <v>43221</v>
      </c>
      <c r="B18">
        <v>6719</v>
      </c>
      <c r="C18">
        <v>443</v>
      </c>
      <c r="D18">
        <v>93.41</v>
      </c>
    </row>
    <row r="19" spans="1:4">
      <c r="A19" s="1">
        <v>43252</v>
      </c>
      <c r="B19">
        <v>6050</v>
      </c>
      <c r="C19">
        <v>70</v>
      </c>
      <c r="D19">
        <v>98.84</v>
      </c>
    </row>
    <row r="20" spans="1:4">
      <c r="A20" s="1">
        <v>43282</v>
      </c>
      <c r="B20">
        <v>6119</v>
      </c>
      <c r="C20">
        <v>207</v>
      </c>
      <c r="D20">
        <v>96.62</v>
      </c>
    </row>
    <row r="21" spans="1:4">
      <c r="A21" s="1">
        <v>43313</v>
      </c>
      <c r="B21">
        <v>6306</v>
      </c>
      <c r="C21">
        <v>393</v>
      </c>
      <c r="D21">
        <v>93.77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81E5-47B8-4EC1-BA97-F0F9309AFDDA}">
  <dimension ref="A1:I18"/>
  <sheetViews>
    <sheetView workbookViewId="0">
      <selection activeCell="H25" sqref="H25"/>
    </sheetView>
  </sheetViews>
  <sheetFormatPr defaultRowHeight="14.4"/>
  <cols>
    <col min="1" max="4" width="18.5546875" customWidth="1"/>
    <col min="5" max="6" width="15.33203125" customWidth="1"/>
    <col min="7" max="7" width="17.109375" customWidth="1"/>
    <col min="8" max="8" width="24.109375" customWidth="1"/>
    <col min="9" max="9" width="22.21875" customWidth="1"/>
  </cols>
  <sheetData>
    <row r="1" spans="1:9">
      <c r="A1" t="s">
        <v>8</v>
      </c>
      <c r="B1" t="s">
        <v>1</v>
      </c>
      <c r="C1" t="s">
        <v>6</v>
      </c>
      <c r="D1" t="s">
        <v>9</v>
      </c>
      <c r="E1" t="s">
        <v>45</v>
      </c>
      <c r="F1" t="s">
        <v>46</v>
      </c>
      <c r="H1" t="s">
        <v>47</v>
      </c>
      <c r="I1">
        <f>COUNTIFS(D2:D18,"&gt;10")</f>
        <v>7</v>
      </c>
    </row>
    <row r="2" spans="1:9">
      <c r="A2" t="s">
        <v>25</v>
      </c>
      <c r="B2">
        <v>40334</v>
      </c>
      <c r="C2">
        <v>1815</v>
      </c>
      <c r="D2">
        <v>4.5</v>
      </c>
      <c r="E2">
        <f>_xlfn.XLOOKUP(A2,Q5_freight!$A$2:$A$18,Q5_freight!$C$2:$C$18,"n/a")</f>
        <v>17.329999999999998</v>
      </c>
      <c r="F2" s="2">
        <f>ROUND(C2-B2*SUM($C$2:$C$18)/SUM($B$2:$B$18),0)</f>
        <v>-874</v>
      </c>
      <c r="H2" t="s">
        <v>48</v>
      </c>
      <c r="I2">
        <f>ROUND(SUMIFS(B2:B18,D2:D18,"&gt;10")/SUM(B2:B18)*100,1)</f>
        <v>22.4</v>
      </c>
    </row>
    <row r="3" spans="1:9" ht="15.6" customHeight="1">
      <c r="A3" t="s">
        <v>24</v>
      </c>
      <c r="B3">
        <v>11293</v>
      </c>
      <c r="C3">
        <v>519</v>
      </c>
      <c r="D3">
        <v>4.5999999999999996</v>
      </c>
      <c r="E3">
        <f>_xlfn.XLOOKUP(A3,Q5_freight!$A$2:$A$18,Q5_freight!$C$2:$C$18,"n/a")</f>
        <v>23.48</v>
      </c>
      <c r="F3" s="2">
        <f>ROUND(C3-B3*SUM($C$2:$C$18)/SUM($B$2:$B$18),0)</f>
        <v>-234</v>
      </c>
      <c r="H3" s="3" t="s">
        <v>49</v>
      </c>
      <c r="I3">
        <f>ROUND(SUMIFS(C2:C18,D2:D18,"&gt;10")/SUM(C2:C18)*100,1)</f>
        <v>41.1</v>
      </c>
    </row>
    <row r="4" spans="1:9">
      <c r="A4" t="s">
        <v>26</v>
      </c>
      <c r="B4">
        <v>4892</v>
      </c>
      <c r="C4">
        <v>199</v>
      </c>
      <c r="D4">
        <v>4.07</v>
      </c>
      <c r="E4">
        <f>_xlfn.XLOOKUP(A4,Q5_freight!$A$2:$A$18,Q5_freight!$C$2:$C$18,"n/a")</f>
        <v>23.49</v>
      </c>
      <c r="F4" s="2">
        <f>ROUND(C4-B4*SUM($C$2:$C$18)/SUM($B$2:$B$18),0)</f>
        <v>-127</v>
      </c>
    </row>
    <row r="5" spans="1:9">
      <c r="A5" t="s">
        <v>21</v>
      </c>
      <c r="B5">
        <v>5310</v>
      </c>
      <c r="C5">
        <v>325</v>
      </c>
      <c r="D5">
        <v>6.12</v>
      </c>
      <c r="E5">
        <f>_xlfn.XLOOKUP(A5,Q5_freight!$A$2:$A$18,Q5_freight!$C$2:$C$18,"n/a")</f>
        <v>24.82</v>
      </c>
      <c r="F5" s="2">
        <f>ROUND(C5-B5*SUM($C$2:$C$18)/SUM($B$2:$B$18),0)</f>
        <v>-29</v>
      </c>
    </row>
    <row r="6" spans="1:9">
      <c r="A6" t="s">
        <v>23</v>
      </c>
      <c r="B6">
        <v>2071</v>
      </c>
      <c r="C6">
        <v>118</v>
      </c>
      <c r="D6">
        <v>5.7</v>
      </c>
      <c r="E6">
        <f>_xlfn.XLOOKUP(A6,Q5_freight!$A$2:$A$18,Q5_freight!$C$2:$C$18,"n/a")</f>
        <v>23.84</v>
      </c>
      <c r="F6" s="2">
        <f>ROUND(C6-B6*SUM($C$2:$C$18)/SUM($B$2:$B$18),0)</f>
        <v>-20</v>
      </c>
    </row>
    <row r="7" spans="1:9">
      <c r="A7" t="s">
        <v>22</v>
      </c>
      <c r="B7">
        <v>882</v>
      </c>
      <c r="C7">
        <v>53</v>
      </c>
      <c r="D7">
        <v>6.01</v>
      </c>
      <c r="E7">
        <f>_xlfn.XLOOKUP(A7,Q5_freight!$A$2:$A$18,Q5_freight!$C$2:$C$18,"n/a")</f>
        <v>32.74</v>
      </c>
      <c r="F7" s="2">
        <f>ROUND(C7-B7*SUM($C$2:$C$18)/SUM($B$2:$B$18),0)</f>
        <v>-6</v>
      </c>
    </row>
    <row r="8" spans="1:9">
      <c r="A8" t="s">
        <v>20</v>
      </c>
      <c r="B8">
        <v>1944</v>
      </c>
      <c r="C8">
        <v>128</v>
      </c>
      <c r="D8">
        <v>6.58</v>
      </c>
      <c r="E8">
        <f>_xlfn.XLOOKUP(A8,Q5_freight!$A$2:$A$18,Q5_freight!$C$2:$C$18,"n/a")</f>
        <v>26.28</v>
      </c>
      <c r="F8" s="2">
        <f>ROUND(C8-B8*SUM($C$2:$C$18)/SUM($B$2:$B$18),0)</f>
        <v>-2</v>
      </c>
    </row>
    <row r="9" spans="1:9">
      <c r="A9" t="s">
        <v>16</v>
      </c>
      <c r="B9">
        <v>516</v>
      </c>
      <c r="C9">
        <v>54</v>
      </c>
      <c r="D9">
        <v>10.47</v>
      </c>
      <c r="E9">
        <f>_xlfn.XLOOKUP(A9,Q5_freight!$A$2:$A$18,Q5_freight!$C$2:$C$18,"n/a")</f>
        <v>48.89</v>
      </c>
      <c r="F9">
        <f>ROUND(C9-B9*SUM($C$2:$C$18)/SUM($B$2:$B$18),0)</f>
        <v>20</v>
      </c>
    </row>
    <row r="10" spans="1:9">
      <c r="A10" t="s">
        <v>17</v>
      </c>
      <c r="B10">
        <v>699</v>
      </c>
      <c r="C10">
        <v>68</v>
      </c>
      <c r="D10">
        <v>9.73</v>
      </c>
      <c r="E10">
        <f>_xlfn.XLOOKUP(A10,Q5_freight!$A$2:$A$18,Q5_freight!$C$2:$C$18,"n/a")</f>
        <v>27.05</v>
      </c>
      <c r="F10">
        <f>ROUND(C10-B10*SUM($C$2:$C$18)/SUM($B$2:$B$18),0)</f>
        <v>21</v>
      </c>
    </row>
    <row r="11" spans="1:9">
      <c r="A11" t="s">
        <v>14</v>
      </c>
      <c r="B11">
        <v>941</v>
      </c>
      <c r="C11">
        <v>106</v>
      </c>
      <c r="D11">
        <v>11.26</v>
      </c>
      <c r="E11">
        <f>_xlfn.XLOOKUP(A11,Q5_freight!$A$2:$A$18,Q5_freight!$C$2:$C$18,"n/a")</f>
        <v>39.65</v>
      </c>
      <c r="F11">
        <f>ROUND(C11-B11*SUM($C$2:$C$18)/SUM($B$2:$B$18),0)</f>
        <v>43</v>
      </c>
    </row>
    <row r="12" spans="1:9">
      <c r="A12" t="s">
        <v>18</v>
      </c>
      <c r="B12">
        <v>1586</v>
      </c>
      <c r="C12">
        <v>153</v>
      </c>
      <c r="D12">
        <v>9.65</v>
      </c>
      <c r="E12">
        <f>_xlfn.XLOOKUP(A12,Q5_freight!$A$2:$A$18,Q5_freight!$C$2:$C$18,"n/a")</f>
        <v>35.79</v>
      </c>
      <c r="F12">
        <f>ROUND(C12-B12*SUM($C$2:$C$18)/SUM($B$2:$B$18),0)</f>
        <v>47</v>
      </c>
    </row>
    <row r="13" spans="1:9">
      <c r="A13" t="s">
        <v>19</v>
      </c>
      <c r="B13">
        <v>3525</v>
      </c>
      <c r="C13">
        <v>291</v>
      </c>
      <c r="D13">
        <v>8.26</v>
      </c>
      <c r="E13">
        <f>_xlfn.XLOOKUP(A13,Q5_freight!$A$2:$A$18,Q5_freight!$C$2:$C$18,"n/a")</f>
        <v>24.81</v>
      </c>
      <c r="F13">
        <f>ROUND(C13-B13*SUM($C$2:$C$18)/SUM($B$2:$B$18),0)</f>
        <v>56</v>
      </c>
    </row>
    <row r="14" spans="1:9">
      <c r="A14" t="s">
        <v>10</v>
      </c>
      <c r="B14">
        <v>710</v>
      </c>
      <c r="C14">
        <v>125</v>
      </c>
      <c r="D14">
        <v>17.61</v>
      </c>
      <c r="E14">
        <f>_xlfn.XLOOKUP(A14,Q5_freight!$A$2:$A$18,Q5_freight!$C$2:$C$18,"n/a")</f>
        <v>42.78</v>
      </c>
      <c r="F14">
        <f>ROUND(C14-B14*SUM($C$2:$C$18)/SUM($B$2:$B$18),0)</f>
        <v>78</v>
      </c>
    </row>
    <row r="15" spans="1:9">
      <c r="A15" t="s">
        <v>15</v>
      </c>
      <c r="B15">
        <v>1986</v>
      </c>
      <c r="C15">
        <v>214</v>
      </c>
      <c r="D15">
        <v>10.78</v>
      </c>
      <c r="E15">
        <f>_xlfn.XLOOKUP(A15,Q5_freight!$A$2:$A$18,Q5_freight!$C$2:$C$18,"n/a")</f>
        <v>24.51</v>
      </c>
      <c r="F15">
        <f>ROUND(C15-B15*SUM($C$2:$C$18)/SUM($B$2:$B$18),0)</f>
        <v>82</v>
      </c>
    </row>
    <row r="16" spans="1:9">
      <c r="A16" t="s">
        <v>11</v>
      </c>
      <c r="B16">
        <v>1272</v>
      </c>
      <c r="C16">
        <v>176</v>
      </c>
      <c r="D16">
        <v>13.84</v>
      </c>
      <c r="E16">
        <f>_xlfn.XLOOKUP(A16,Q5_freight!$A$2:$A$18,Q5_freight!$C$2:$C$18,"n/a")</f>
        <v>36.5</v>
      </c>
      <c r="F16">
        <f>ROUND(C16-B16*SUM($C$2:$C$18)/SUM($B$2:$B$18),0)</f>
        <v>91</v>
      </c>
    </row>
    <row r="17" spans="1:6">
      <c r="A17" t="s">
        <v>13</v>
      </c>
      <c r="B17">
        <v>3249</v>
      </c>
      <c r="C17">
        <v>395</v>
      </c>
      <c r="D17">
        <v>12.16</v>
      </c>
      <c r="E17">
        <f>_xlfn.XLOOKUP(A17,Q5_freight!$A$2:$A$18,Q5_freight!$C$2:$C$18,"n/a")</f>
        <v>29.95</v>
      </c>
      <c r="F17">
        <f>ROUND(C17-B17*SUM($C$2:$C$18)/SUM($B$2:$B$18),0)</f>
        <v>178</v>
      </c>
    </row>
    <row r="18" spans="1:6">
      <c r="A18" t="s">
        <v>12</v>
      </c>
      <c r="B18">
        <v>12291</v>
      </c>
      <c r="C18">
        <v>1495</v>
      </c>
      <c r="D18">
        <v>12.16</v>
      </c>
      <c r="E18">
        <f>_xlfn.XLOOKUP(A18,Q5_freight!$A$2:$A$18,Q5_freight!$C$2:$C$18,"n/a")</f>
        <v>23.96</v>
      </c>
      <c r="F18">
        <f>ROUND(C18-B18*SUM($C$2:$C$18)/SUM($B$2:$B$18),0)</f>
        <v>676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CDBF-F87E-4860-9E9C-F101809225BA}">
  <dimension ref="A1:D18"/>
  <sheetViews>
    <sheetView workbookViewId="0">
      <selection activeCell="C20" sqref="C20"/>
    </sheetView>
  </sheetViews>
  <sheetFormatPr defaultRowHeight="14.4"/>
  <cols>
    <col min="1" max="5" width="22.77734375" customWidth="1"/>
  </cols>
  <sheetData>
    <row r="1" spans="1:4">
      <c r="A1" t="s">
        <v>8</v>
      </c>
      <c r="B1" t="s">
        <v>1</v>
      </c>
      <c r="C1" t="s">
        <v>27</v>
      </c>
      <c r="D1" t="s">
        <v>28</v>
      </c>
    </row>
    <row r="2" spans="1:4">
      <c r="A2" t="s">
        <v>16</v>
      </c>
      <c r="B2">
        <v>516</v>
      </c>
      <c r="C2">
        <v>48.89</v>
      </c>
      <c r="D2">
        <v>22.42</v>
      </c>
    </row>
    <row r="3" spans="1:4">
      <c r="A3" t="s">
        <v>10</v>
      </c>
      <c r="B3">
        <v>710</v>
      </c>
      <c r="C3">
        <v>42.78</v>
      </c>
      <c r="D3">
        <v>26.14</v>
      </c>
    </row>
    <row r="4" spans="1:4">
      <c r="A4" t="s">
        <v>14</v>
      </c>
      <c r="B4">
        <v>941</v>
      </c>
      <c r="C4">
        <v>39.65</v>
      </c>
      <c r="D4">
        <v>21.53</v>
      </c>
    </row>
    <row r="5" spans="1:4">
      <c r="A5" t="s">
        <v>11</v>
      </c>
      <c r="B5">
        <v>1272</v>
      </c>
      <c r="C5">
        <v>36.5</v>
      </c>
      <c r="D5">
        <v>21.29</v>
      </c>
    </row>
    <row r="6" spans="1:4">
      <c r="A6" t="s">
        <v>18</v>
      </c>
      <c r="B6">
        <v>1586</v>
      </c>
      <c r="C6">
        <v>35.79</v>
      </c>
      <c r="D6">
        <v>22.66</v>
      </c>
    </row>
    <row r="7" spans="1:4">
      <c r="A7" t="s">
        <v>22</v>
      </c>
      <c r="B7">
        <v>882</v>
      </c>
      <c r="C7">
        <v>32.74</v>
      </c>
      <c r="D7">
        <v>19.02</v>
      </c>
    </row>
    <row r="8" spans="1:4">
      <c r="A8" t="s">
        <v>13</v>
      </c>
      <c r="B8">
        <v>3249</v>
      </c>
      <c r="C8">
        <v>29.95</v>
      </c>
      <c r="D8">
        <v>19.75</v>
      </c>
    </row>
    <row r="9" spans="1:4">
      <c r="A9" t="s">
        <v>17</v>
      </c>
      <c r="B9">
        <v>699</v>
      </c>
      <c r="C9">
        <v>27.05</v>
      </c>
      <c r="D9">
        <v>16.41</v>
      </c>
    </row>
    <row r="10" spans="1:4">
      <c r="A10" t="s">
        <v>20</v>
      </c>
      <c r="B10">
        <v>1944</v>
      </c>
      <c r="C10">
        <v>26.28</v>
      </c>
      <c r="D10">
        <v>18.16</v>
      </c>
    </row>
    <row r="11" spans="1:4">
      <c r="A11" t="s">
        <v>21</v>
      </c>
      <c r="B11">
        <v>5310</v>
      </c>
      <c r="C11">
        <v>24.82</v>
      </c>
      <c r="D11">
        <v>18.2</v>
      </c>
    </row>
    <row r="12" spans="1:4">
      <c r="A12" t="s">
        <v>19</v>
      </c>
      <c r="B12">
        <v>3525</v>
      </c>
      <c r="C12">
        <v>24.81</v>
      </c>
      <c r="D12">
        <v>17.38</v>
      </c>
    </row>
    <row r="13" spans="1:4">
      <c r="A13" t="s">
        <v>15</v>
      </c>
      <c r="B13">
        <v>1986</v>
      </c>
      <c r="C13">
        <v>24.51</v>
      </c>
      <c r="D13">
        <v>18.27</v>
      </c>
    </row>
    <row r="14" spans="1:4">
      <c r="A14" t="s">
        <v>12</v>
      </c>
      <c r="B14">
        <v>12291</v>
      </c>
      <c r="C14">
        <v>23.96</v>
      </c>
      <c r="D14">
        <v>16.829999999999998</v>
      </c>
    </row>
    <row r="15" spans="1:4">
      <c r="A15" t="s">
        <v>23</v>
      </c>
      <c r="B15">
        <v>2071</v>
      </c>
      <c r="C15">
        <v>23.84</v>
      </c>
      <c r="D15">
        <v>16.73</v>
      </c>
    </row>
    <row r="16" spans="1:4">
      <c r="A16" t="s">
        <v>26</v>
      </c>
      <c r="B16">
        <v>4892</v>
      </c>
      <c r="C16">
        <v>23.49</v>
      </c>
      <c r="D16">
        <v>17.350000000000001</v>
      </c>
    </row>
    <row r="17" spans="1:4">
      <c r="A17" t="s">
        <v>24</v>
      </c>
      <c r="B17">
        <v>11293</v>
      </c>
      <c r="C17">
        <v>23.48</v>
      </c>
      <c r="D17">
        <v>17.170000000000002</v>
      </c>
    </row>
    <row r="18" spans="1:4">
      <c r="A18" t="s">
        <v>25</v>
      </c>
      <c r="B18">
        <v>40334</v>
      </c>
      <c r="C18">
        <v>17.329999999999998</v>
      </c>
      <c r="D18">
        <v>13.85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B3FE-95C6-4576-9B90-87C19FF491F5}">
  <dimension ref="A1:D3"/>
  <sheetViews>
    <sheetView workbookViewId="0">
      <selection activeCell="M11" sqref="M11"/>
    </sheetView>
  </sheetViews>
  <sheetFormatPr defaultRowHeight="14.4"/>
  <cols>
    <col min="1" max="1" width="16.21875" customWidth="1"/>
    <col min="2" max="2" width="17" customWidth="1"/>
    <col min="3" max="3" width="16.21875" customWidth="1"/>
    <col min="4" max="4" width="17.109375" customWidth="1"/>
    <col min="5" max="5" width="16.21875" customWidth="1"/>
  </cols>
  <sheetData>
    <row r="1" spans="1:4">
      <c r="A1" t="s">
        <v>29</v>
      </c>
      <c r="B1" t="s">
        <v>1</v>
      </c>
      <c r="C1" t="s">
        <v>30</v>
      </c>
      <c r="D1" t="s">
        <v>31</v>
      </c>
    </row>
    <row r="2" spans="1:4">
      <c r="A2" t="s">
        <v>65</v>
      </c>
      <c r="B2">
        <v>89490</v>
      </c>
      <c r="C2">
        <v>3</v>
      </c>
      <c r="D2">
        <v>7.99</v>
      </c>
    </row>
    <row r="3" spans="1:4">
      <c r="A3" t="s">
        <v>66</v>
      </c>
      <c r="B3">
        <v>6528</v>
      </c>
      <c r="C3">
        <v>6.04</v>
      </c>
      <c r="D3">
        <v>27.9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D851-C99F-49EB-9576-443C02AD9BA3}">
  <dimension ref="A1:D3"/>
  <sheetViews>
    <sheetView workbookViewId="0">
      <selection activeCell="E21" sqref="E21"/>
    </sheetView>
  </sheetViews>
  <sheetFormatPr defaultRowHeight="14.4"/>
  <cols>
    <col min="1" max="4" width="18.5546875" customWidth="1"/>
  </cols>
  <sheetData>
    <row r="1" spans="1:4">
      <c r="A1" t="s">
        <v>29</v>
      </c>
      <c r="B1" t="s">
        <v>1</v>
      </c>
      <c r="C1" t="s">
        <v>32</v>
      </c>
      <c r="D1" t="s">
        <v>33</v>
      </c>
    </row>
    <row r="2" spans="1:4">
      <c r="A2">
        <v>0</v>
      </c>
      <c r="B2">
        <v>89001</v>
      </c>
      <c r="C2">
        <v>4.29</v>
      </c>
      <c r="D2">
        <v>9.2100000000000009</v>
      </c>
    </row>
    <row r="3" spans="1:4">
      <c r="A3">
        <v>1</v>
      </c>
      <c r="B3">
        <v>6375</v>
      </c>
      <c r="C3">
        <v>2.27</v>
      </c>
      <c r="D3">
        <v>62.37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AB8B-8CBC-44B1-8444-470F215AB4E3}">
  <dimension ref="A1:D11"/>
  <sheetViews>
    <sheetView workbookViewId="0">
      <selection activeCell="D17" sqref="D17"/>
    </sheetView>
  </sheetViews>
  <sheetFormatPr defaultRowHeight="14.4"/>
  <cols>
    <col min="1" max="1" width="38.5546875" customWidth="1"/>
    <col min="2" max="5" width="22.88671875" customWidth="1"/>
  </cols>
  <sheetData>
    <row r="1" spans="1:4">
      <c r="A1" t="s">
        <v>34</v>
      </c>
      <c r="B1" t="s">
        <v>1</v>
      </c>
      <c r="C1" t="s">
        <v>9</v>
      </c>
      <c r="D1" t="s">
        <v>30</v>
      </c>
    </row>
    <row r="2" spans="1:4">
      <c r="A2" t="s">
        <v>35</v>
      </c>
      <c r="B2">
        <v>43</v>
      </c>
      <c r="C2">
        <v>32.56</v>
      </c>
      <c r="D2">
        <v>3.72</v>
      </c>
    </row>
    <row r="3" spans="1:4">
      <c r="A3" t="s">
        <v>36</v>
      </c>
      <c r="B3">
        <v>38</v>
      </c>
      <c r="C3">
        <v>31.58</v>
      </c>
      <c r="D3">
        <v>11.58</v>
      </c>
    </row>
    <row r="4" spans="1:4">
      <c r="A4" t="s">
        <v>37</v>
      </c>
      <c r="B4">
        <v>73</v>
      </c>
      <c r="C4">
        <v>30.14</v>
      </c>
      <c r="D4">
        <v>15.31</v>
      </c>
    </row>
    <row r="5" spans="1:4">
      <c r="A5" t="s">
        <v>38</v>
      </c>
      <c r="B5">
        <v>48</v>
      </c>
      <c r="C5">
        <v>27.08</v>
      </c>
      <c r="D5">
        <v>5.13</v>
      </c>
    </row>
    <row r="6" spans="1:4">
      <c r="A6" t="s">
        <v>39</v>
      </c>
      <c r="B6">
        <v>42</v>
      </c>
      <c r="C6">
        <v>26.19</v>
      </c>
      <c r="D6">
        <v>9.6199999999999992</v>
      </c>
    </row>
    <row r="7" spans="1:4">
      <c r="A7" t="s">
        <v>40</v>
      </c>
      <c r="B7">
        <v>64</v>
      </c>
      <c r="C7">
        <v>23.44</v>
      </c>
      <c r="D7">
        <v>7.5</v>
      </c>
    </row>
    <row r="8" spans="1:4">
      <c r="A8" t="s">
        <v>41</v>
      </c>
      <c r="B8">
        <v>96</v>
      </c>
      <c r="C8">
        <v>21.88</v>
      </c>
      <c r="D8">
        <v>7.23</v>
      </c>
    </row>
    <row r="9" spans="1:4">
      <c r="A9" t="s">
        <v>42</v>
      </c>
      <c r="B9">
        <v>43</v>
      </c>
      <c r="C9">
        <v>20.93</v>
      </c>
      <c r="D9">
        <v>2.25</v>
      </c>
    </row>
    <row r="10" spans="1:4">
      <c r="A10" t="s">
        <v>43</v>
      </c>
      <c r="B10">
        <v>77</v>
      </c>
      <c r="C10">
        <v>20.78</v>
      </c>
      <c r="D10">
        <v>8.0399999999999991</v>
      </c>
    </row>
    <row r="11" spans="1:4">
      <c r="A11" t="s">
        <v>44</v>
      </c>
      <c r="B11">
        <v>35</v>
      </c>
      <c r="C11">
        <v>20</v>
      </c>
      <c r="D11">
        <v>2.35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Pivot_quarterly</vt:lpstr>
      <vt:lpstr>Q1_monthly</vt:lpstr>
      <vt:lpstr>Q2_delivery_time</vt:lpstr>
      <vt:lpstr>Q3_on_time</vt:lpstr>
      <vt:lpstr>Q4_state</vt:lpstr>
      <vt:lpstr>Q5_freight</vt:lpstr>
      <vt:lpstr>Q6_stages</vt:lpstr>
      <vt:lpstr>Q7_reviews</vt:lpstr>
      <vt:lpstr>Q8_sellers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Dostonbek Saburov</dc:creator>
  <cp:lastModifiedBy>Dostonbek Saburov</cp:lastModifiedBy>
  <dcterms:created xsi:type="dcterms:W3CDTF">2015-06-05T18:17:20Z</dcterms:created>
  <dcterms:modified xsi:type="dcterms:W3CDTF">2026-10-27T11:45:21Z</dcterms:modified>
</cp:coreProperties>
</file>